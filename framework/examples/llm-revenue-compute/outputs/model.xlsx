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s" sheetId="1" state="visible" r:id="rId1"/>
    <sheet name="model" sheetId="2" state="visible" r:id="rId2"/>
  </sheets>
  <definedNames>
    <definedName name="arr_base">'globals'!$B$2</definedName>
    <definedName name="arr_growth_2026">'globals'!$B$3</definedName>
    <definedName name="arr_growth_2027_seed">'globals'!$B$4</definedName>
    <definedName name="arr_growth_decay">'globals'!$B$5</definedName>
    <definedName name="cap_2025">'globals'!$B$6</definedName>
    <definedName name="cap_2026">'globals'!$B$7</definedName>
    <definedName name="cap_2027">'globals'!$B$8</definedName>
    <definedName name="cap_2028">'globals'!$B$9</definedName>
    <definedName name="cap_2029">'globals'!$B$10</definedName>
    <definedName name="cap_2030">'globals'!$B$11</definedName>
    <definedName name="util_start">'globals'!$B$12</definedName>
    <definedName name="util_ceiling">'globals'!$B$13</definedName>
    <definedName name="dc_twh_2025">'globals'!$B$14</definedName>
    <definedName name="dc_twh_2030">'globals'!$B$15</definedName>
    <definedName name="llm_share_2025">'globals'!$B$16</definedName>
    <definedName name="llm_share_2030">'globals'!$B$17</definedName>
    <definedName name="val_anchor_2025">'globals'!$B$18</definedName>
    <definedName name="multiple_2026">'globals'!$B$19</definedName>
    <definedName name="multiple_floor">'globals'!$B$20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model</author>
  </authors>
  <commentList>
    <comment ref="B2" authorId="0" shapeId="0">
      <text>
        <t>value (formula unsupported in export)</t>
      </text>
    </comment>
    <comment ref="C2" authorId="0" shapeId="0">
      <text>
        <t>value (formula unsupported in export)</t>
      </text>
    </comment>
    <comment ref="D2" authorId="0" shapeId="0">
      <text>
        <t>value (formula unsupported in export)</t>
      </text>
    </comment>
    <comment ref="E2" authorId="0" shapeId="0">
      <text>
        <t>value (formula unsupported in export)</t>
      </text>
    </comment>
    <comment ref="F2" authorId="0" shapeId="0">
      <text>
        <t>value (formula unsupported in export)</t>
      </text>
    </comment>
    <comment ref="G2" authorId="0" shapeId="0">
      <text>
        <t>value (formula unsupported in export)</t>
      </text>
    </comment>
    <comment ref="B3" authorId="0" shapeId="0">
      <text>
        <t>value (formula unsupported in export)</t>
      </text>
    </comment>
    <comment ref="C3" authorId="0" shapeId="0">
      <text>
        <t>value (formula unsupported in export)</t>
      </text>
    </comment>
    <comment ref="D3" authorId="0" shapeId="0">
      <text>
        <t>value (formula unsupported in export)</t>
      </text>
    </comment>
    <comment ref="E3" authorId="0" shapeId="0">
      <text>
        <t>value (formula unsupported in export)</t>
      </text>
    </comment>
    <comment ref="F3" authorId="0" shapeId="0">
      <text>
        <t>value (formula unsupported in export)</t>
      </text>
    </comment>
    <comment ref="G3" authorId="0" shapeId="0">
      <text>
        <t>value (formula unsupported in export)</t>
      </text>
    </comment>
    <comment ref="B4" authorId="0" shapeId="0">
      <text>
        <t>value (formula unsupported in export)</t>
      </text>
    </comment>
    <comment ref="C4" authorId="0" shapeId="0">
      <text>
        <t>value (formula unsupported in export)</t>
      </text>
    </comment>
    <comment ref="D4" authorId="0" shapeId="0">
      <text>
        <t>value (formula unsupported in export)</t>
      </text>
    </comment>
    <comment ref="E4" authorId="0" shapeId="0">
      <text>
        <t>value (formula unsupported in export)</t>
      </text>
    </comment>
    <comment ref="F4" authorId="0" shapeId="0">
      <text>
        <t>value (formula unsupported in export)</t>
      </text>
    </comment>
    <comment ref="G4" authorId="0" shapeId="0">
      <text>
        <t>value (formula unsupported in export)</t>
      </text>
    </comment>
    <comment ref="D6" authorId="0" shapeId="0">
      <text>
        <t>value (formula unsupported in export)</t>
      </text>
    </comment>
    <comment ref="E6" authorId="0" shapeId="0">
      <text>
        <t>value (formula unsupported in export)</t>
      </text>
    </comment>
    <comment ref="F6" authorId="0" shapeId="0">
      <text>
        <t>value (formula unsupported in export)</t>
      </text>
    </comment>
    <comment ref="G6" authorId="0" shapeId="0">
      <text>
        <t>value (formula unsupported in export)</t>
      </text>
    </comment>
    <comment ref="C12" authorId="0" shapeId="0">
      <text>
        <t>value (formula unsupported in export)</t>
      </text>
    </comment>
    <comment ref="D12" authorId="0" shapeId="0">
      <text>
        <t>value (formula unsupported in export)</t>
      </text>
    </comment>
    <comment ref="E12" authorId="0" shapeId="0">
      <text>
        <t>value (formula unsupported in export)</t>
      </text>
    </comment>
    <comment ref="F12" authorId="0" shapeId="0">
      <text>
        <t>value (formula unsupported in export)</t>
      </text>
    </comment>
    <comment ref="G12" authorId="0" shapeId="0">
      <text>
        <t>value (formula unsupported in export)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arr_base</t>
        </is>
      </c>
      <c r="B2" t="n">
        <v>9</v>
      </c>
    </row>
    <row r="3">
      <c r="A3" t="inlineStr">
        <is>
          <t>arr_growth_2026</t>
        </is>
      </c>
      <c r="B3" t="n">
        <v>3.89</v>
      </c>
    </row>
    <row r="4">
      <c r="A4" t="inlineStr">
        <is>
          <t>arr_growth_2027_seed</t>
        </is>
      </c>
      <c r="B4" t="n">
        <v>0.8</v>
      </c>
    </row>
    <row r="5">
      <c r="A5" t="inlineStr">
        <is>
          <t>arr_growth_decay</t>
        </is>
      </c>
      <c r="B5" t="n">
        <v>0.7</v>
      </c>
    </row>
    <row r="6">
      <c r="A6" t="inlineStr">
        <is>
          <t>cap_2025</t>
        </is>
      </c>
      <c r="B6" t="n">
        <v>0.1</v>
      </c>
    </row>
    <row r="7">
      <c r="A7" t="inlineStr">
        <is>
          <t>cap_2026</t>
        </is>
      </c>
      <c r="B7" t="n">
        <v>1.3</v>
      </c>
    </row>
    <row r="8">
      <c r="A8" t="inlineStr">
        <is>
          <t>cap_2027</t>
        </is>
      </c>
      <c r="B8" t="n">
        <v>5</v>
      </c>
    </row>
    <row r="9">
      <c r="A9" t="inlineStr">
        <is>
          <t>cap_2028</t>
        </is>
      </c>
      <c r="B9" t="n">
        <v>8.5</v>
      </c>
    </row>
    <row r="10">
      <c r="A10" t="inlineStr">
        <is>
          <t>cap_2029</t>
        </is>
      </c>
      <c r="B10" t="n">
        <v>11</v>
      </c>
    </row>
    <row r="11">
      <c r="A11" t="inlineStr">
        <is>
          <t>cap_2030</t>
        </is>
      </c>
      <c r="B11" t="n">
        <v>14</v>
      </c>
    </row>
    <row r="12">
      <c r="A12" t="inlineStr">
        <is>
          <t>util_start</t>
        </is>
      </c>
      <c r="B12" t="n">
        <v>0.35</v>
      </c>
    </row>
    <row r="13">
      <c r="A13" t="inlineStr">
        <is>
          <t>util_ceiling</t>
        </is>
      </c>
      <c r="B13" t="n">
        <v>0.75</v>
      </c>
    </row>
    <row r="14">
      <c r="A14" t="inlineStr">
        <is>
          <t>dc_twh_2025</t>
        </is>
      </c>
      <c r="B14" t="n">
        <v>448</v>
      </c>
    </row>
    <row r="15">
      <c r="A15" t="inlineStr">
        <is>
          <t>dc_twh_2030</t>
        </is>
      </c>
      <c r="B15" t="n">
        <v>945</v>
      </c>
    </row>
    <row r="16">
      <c r="A16" t="inlineStr">
        <is>
          <t>llm_share_2025</t>
        </is>
      </c>
      <c r="B16" t="n">
        <v>0.25</v>
      </c>
    </row>
    <row r="17">
      <c r="A17" t="inlineStr">
        <is>
          <t>llm_share_2030</t>
        </is>
      </c>
      <c r="B17" t="n">
        <v>0.45</v>
      </c>
    </row>
    <row r="18">
      <c r="A18" t="inlineStr">
        <is>
          <t>val_anchor_2025</t>
        </is>
      </c>
      <c r="B18" t="n">
        <v>350</v>
      </c>
    </row>
    <row r="19">
      <c r="A19" t="inlineStr">
        <is>
          <t>multiple_2026</t>
        </is>
      </c>
      <c r="B19" t="n">
        <v>20.5</v>
      </c>
    </row>
    <row r="20">
      <c r="A20" t="inlineStr">
        <is>
          <t>multiple_floor</t>
        </is>
      </c>
      <c r="B2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(label)</t>
        </is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</row>
    <row r="2">
      <c r="A2" t="inlineStr">
        <is>
          <t>global_dc_twh</t>
        </is>
      </c>
      <c r="B2" t="n">
        <v>448</v>
      </c>
      <c r="C2" t="n">
        <v>547.4</v>
      </c>
      <c r="D2" t="n">
        <v>646.8</v>
      </c>
      <c r="E2" t="n">
        <v>746.2</v>
      </c>
      <c r="F2" t="n">
        <v>845.6</v>
      </c>
      <c r="G2" t="n">
        <v>945</v>
      </c>
    </row>
    <row r="3">
      <c r="A3" t="inlineStr">
        <is>
          <t>llm_dc_share</t>
        </is>
      </c>
      <c r="B3" t="n">
        <v>0.25</v>
      </c>
      <c r="C3" t="n">
        <v>0.29</v>
      </c>
      <c r="D3" t="n">
        <v>0.33</v>
      </c>
      <c r="E3" t="n">
        <v>0.37</v>
      </c>
      <c r="F3" t="n">
        <v>0.41</v>
      </c>
      <c r="G3" t="n">
        <v>0.45</v>
      </c>
    </row>
    <row r="4">
      <c r="A4" t="inlineStr">
        <is>
          <t>util_rate</t>
        </is>
      </c>
      <c r="B4" t="n">
        <v>0.35</v>
      </c>
      <c r="C4" t="n">
        <v>0.43</v>
      </c>
      <c r="D4" t="n">
        <v>0.51</v>
      </c>
      <c r="E4" t="n">
        <v>0.59</v>
      </c>
      <c r="F4" t="n">
        <v>0.67</v>
      </c>
      <c r="G4" t="n">
        <v>0.75</v>
      </c>
    </row>
    <row r="5">
      <c r="A5" t="inlineStr">
        <is>
          <t>capacity_gw</t>
        </is>
      </c>
      <c r="B5">
        <f>cap_2025</f>
        <v/>
      </c>
      <c r="C5">
        <f>cap_2026</f>
        <v/>
      </c>
      <c r="D5">
        <f>cap_2027</f>
        <v/>
      </c>
      <c r="E5">
        <f>cap_2028</f>
        <v/>
      </c>
      <c r="F5">
        <f>cap_2029</f>
        <v/>
      </c>
      <c r="G5">
        <f>cap_2030</f>
        <v/>
      </c>
    </row>
    <row r="6">
      <c r="A6" t="inlineStr">
        <is>
          <t>arr_growth_rate</t>
        </is>
      </c>
      <c r="B6">
        <f>0.0</f>
        <v/>
      </c>
      <c r="C6">
        <f>arr_growth_2026</f>
        <v/>
      </c>
      <c r="D6" t="n">
        <v>0.8</v>
      </c>
      <c r="E6" t="n">
        <v>0.5599999999999999</v>
      </c>
      <c r="F6" t="n">
        <v>0.392</v>
      </c>
      <c r="G6" t="n">
        <v>0.2743999999999999</v>
      </c>
    </row>
    <row r="7">
      <c r="A7" t="inlineStr">
        <is>
          <t>global_llm_twh</t>
        </is>
      </c>
      <c r="B7">
        <f>(B$2*B$3)</f>
        <v/>
      </c>
      <c r="C7">
        <f>(C$2*C$3)</f>
        <v/>
      </c>
      <c r="D7">
        <f>(D$2*D$3)</f>
        <v/>
      </c>
      <c r="E7">
        <f>(E$2*E$3)</f>
        <v/>
      </c>
      <c r="F7">
        <f>(F$2*F$3)</f>
        <v/>
      </c>
      <c r="G7">
        <f>(G$2*G$3)</f>
        <v/>
      </c>
    </row>
    <row r="8">
      <c r="A8" t="inlineStr">
        <is>
          <t>revenue_gw</t>
        </is>
      </c>
      <c r="B8">
        <f>(B$5*B$4)</f>
        <v/>
      </c>
      <c r="C8">
        <f>(C$5*C$4)</f>
        <v/>
      </c>
      <c r="D8">
        <f>(D$5*D$4)</f>
        <v/>
      </c>
      <c r="E8">
        <f>(E$5*E$4)</f>
        <v/>
      </c>
      <c r="F8">
        <f>(F$5*F$4)</f>
        <v/>
      </c>
      <c r="G8">
        <f>(G$5*G$4)</f>
        <v/>
      </c>
    </row>
    <row r="9">
      <c r="A9" t="inlineStr">
        <is>
          <t>arr</t>
        </is>
      </c>
      <c r="B9">
        <f>arr_base</f>
        <v/>
      </c>
      <c r="C9">
        <f>(B9*(1+C$6))</f>
        <v/>
      </c>
      <c r="D9">
        <f>(C9*(1+D$6))</f>
        <v/>
      </c>
      <c r="E9">
        <f>(D9*(1+E$6))</f>
        <v/>
      </c>
      <c r="F9">
        <f>(E9*(1+F$6))</f>
        <v/>
      </c>
      <c r="G9">
        <f>(F9*(1+G$6))</f>
        <v/>
      </c>
    </row>
    <row r="10">
      <c r="A10" t="inlineStr">
        <is>
          <t>global_llm_gw</t>
        </is>
      </c>
      <c r="B10">
        <f>(B$7/8.76)</f>
        <v/>
      </c>
      <c r="C10">
        <f>(C$7/8.76)</f>
        <v/>
      </c>
      <c r="D10">
        <f>(D$7/8.76)</f>
        <v/>
      </c>
      <c r="E10">
        <f>(E$7/8.76)</f>
        <v/>
      </c>
      <c r="F10">
        <f>(F$7/8.76)</f>
        <v/>
      </c>
      <c r="G10">
        <f>(G$7/8.76)</f>
        <v/>
      </c>
    </row>
    <row r="11">
      <c r="A11" t="inlineStr">
        <is>
          <t>arr_per_revenue_gw</t>
        </is>
      </c>
      <c r="B11">
        <f>(B$9/B$8)</f>
        <v/>
      </c>
      <c r="C11">
        <f>(C$9/C$8)</f>
        <v/>
      </c>
      <c r="D11">
        <f>(D$9/D$8)</f>
        <v/>
      </c>
      <c r="E11">
        <f>(E$9/E$8)</f>
        <v/>
      </c>
      <c r="F11">
        <f>(F$9/F$8)</f>
        <v/>
      </c>
      <c r="G11">
        <f>(G$9/G$8)</f>
        <v/>
      </c>
    </row>
    <row r="12">
      <c r="A12" t="inlineStr">
        <is>
          <t>revenue_multiple</t>
        </is>
      </c>
      <c r="B12">
        <f>(val_anchor_2025/B$9)</f>
        <v/>
      </c>
      <c r="C12" t="n">
        <v>20.5</v>
      </c>
      <c r="D12" t="n">
        <v>17.375</v>
      </c>
      <c r="E12" t="n">
        <v>14.25</v>
      </c>
      <c r="F12" t="n">
        <v>11.125</v>
      </c>
      <c r="G12" t="n">
        <v>8</v>
      </c>
    </row>
    <row r="13">
      <c r="A13" t="inlineStr">
        <is>
          <t>anthropic_compute_share</t>
        </is>
      </c>
      <c r="B13">
        <f>(B$8/B$10)</f>
        <v/>
      </c>
      <c r="C13">
        <f>(C$8/C$10)</f>
        <v/>
      </c>
      <c r="D13">
        <f>(D$8/D$10)</f>
        <v/>
      </c>
      <c r="E13">
        <f>(E$8/E$10)</f>
        <v/>
      </c>
      <c r="F13">
        <f>(F$8/F$10)</f>
        <v/>
      </c>
      <c r="G13">
        <f>(G$8/G$10)</f>
        <v/>
      </c>
    </row>
    <row r="14">
      <c r="A14" t="inlineStr">
        <is>
          <t>valuation</t>
        </is>
      </c>
      <c r="B14">
        <f>val_anchor_2025</f>
        <v/>
      </c>
      <c r="C14">
        <f>(C$9*C$12)</f>
        <v/>
      </c>
      <c r="D14">
        <f>(D$9*D$12)</f>
        <v/>
      </c>
      <c r="E14">
        <f>(E$9*E$12)</f>
        <v/>
      </c>
      <c r="F14">
        <f>(F$9*F$12)</f>
        <v/>
      </c>
      <c r="G14">
        <f>(G$9*G$12)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2026-05-10T19:32:26Z</dcterms:created>
  <dcterms:modified xsi:type="dcterms:W3CDTF">2026-05-10T19:32:26Z</dcterms:modified>
</cp:coreProperties>
</file>